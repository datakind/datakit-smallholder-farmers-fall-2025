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Data Science, Statistics &amp; Programming\Projects &amp; Competitions\DataKind\DataKit 4\"/>
    </mc:Choice>
  </mc:AlternateContent>
  <xr:revisionPtr revIDLastSave="0" documentId="13_ncr:1_{F394F3B5-8393-4BD3-8EFE-B21F23E08F0D}" xr6:coauthVersionLast="47" xr6:coauthVersionMax="47" xr10:uidLastSave="{00000000-0000-0000-0000-000000000000}"/>
  <bookViews>
    <workbookView xWindow="-120" yWindow="-120" windowWidth="29040" windowHeight="15720" xr2:uid="{CCB760C1-E5DC-4203-A6AA-C0D5B95B767A}"/>
  </bookViews>
  <sheets>
    <sheet name="Sheet1" sheetId="1" r:id="rId1"/>
  </sheets>
  <definedNames>
    <definedName name="_xlnm._FilterDatabase" localSheetId="0" hidden="1">Sheet1!$H$1:$H$150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 a="1"/>
  <c r="J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2" i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2" i="1"/>
  <c r="J2" i="1" l="1" a="1"/>
  <c r="J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<sst xmlns="http://schemas.openxmlformats.org/spreadsheetml/2006/main" count="155" uniqueCount="154">
  <si>
    <t>maize</t>
  </si>
  <si>
    <t>chicken</t>
  </si>
  <si>
    <t>cattle</t>
  </si>
  <si>
    <t>tomato</t>
  </si>
  <si>
    <t>poultry</t>
  </si>
  <si>
    <t>bean</t>
  </si>
  <si>
    <t>plant</t>
  </si>
  <si>
    <t>pig</t>
  </si>
  <si>
    <t>goat</t>
  </si>
  <si>
    <t>potato</t>
  </si>
  <si>
    <t>crop</t>
  </si>
  <si>
    <t>coffee</t>
  </si>
  <si>
    <t>rabbit</t>
  </si>
  <si>
    <t>onion</t>
  </si>
  <si>
    <t>rice</t>
  </si>
  <si>
    <t>banana</t>
  </si>
  <si>
    <t>cabbage</t>
  </si>
  <si>
    <t>cotton</t>
  </si>
  <si>
    <t>animal</t>
  </si>
  <si>
    <t>sheep</t>
  </si>
  <si>
    <t>watermelon</t>
  </si>
  <si>
    <t>passion-fruit</t>
  </si>
  <si>
    <t>peanut</t>
  </si>
  <si>
    <t>livestock</t>
  </si>
  <si>
    <t>tree</t>
  </si>
  <si>
    <t>vegetable</t>
  </si>
  <si>
    <t>bee</t>
  </si>
  <si>
    <t>kale</t>
  </si>
  <si>
    <t>cassava</t>
  </si>
  <si>
    <t>sugar-cane</t>
  </si>
  <si>
    <t>wheat</t>
  </si>
  <si>
    <t>fish</t>
  </si>
  <si>
    <t>millet</t>
  </si>
  <si>
    <t>tea</t>
  </si>
  <si>
    <t>duck</t>
  </si>
  <si>
    <t>carrot</t>
  </si>
  <si>
    <t>plantain</t>
  </si>
  <si>
    <t>sunflower</t>
  </si>
  <si>
    <t>grass</t>
  </si>
  <si>
    <t>dog</t>
  </si>
  <si>
    <t>bird</t>
  </si>
  <si>
    <t>cereal</t>
  </si>
  <si>
    <t>avocado</t>
  </si>
  <si>
    <t>capsicum</t>
  </si>
  <si>
    <t>sweet-potato</t>
  </si>
  <si>
    <t>mango</t>
  </si>
  <si>
    <t>melon</t>
  </si>
  <si>
    <t>napier-grass</t>
  </si>
  <si>
    <t>spinach</t>
  </si>
  <si>
    <t>orange</t>
  </si>
  <si>
    <t>pea</t>
  </si>
  <si>
    <t>chilli</t>
  </si>
  <si>
    <t>pigeon</t>
  </si>
  <si>
    <t>ginger</t>
  </si>
  <si>
    <t>soya</t>
  </si>
  <si>
    <t>mushroom</t>
  </si>
  <si>
    <t>pineapple</t>
  </si>
  <si>
    <t>aubergine</t>
  </si>
  <si>
    <t>guinea-fowl</t>
  </si>
  <si>
    <t>pumpkin</t>
  </si>
  <si>
    <t>cowpea</t>
  </si>
  <si>
    <t>paw-paw</t>
  </si>
  <si>
    <t>cat</t>
  </si>
  <si>
    <t>cashew-nut</t>
  </si>
  <si>
    <t>turkey</t>
  </si>
  <si>
    <t>tobacco</t>
  </si>
  <si>
    <t>apple</t>
  </si>
  <si>
    <t>olive</t>
  </si>
  <si>
    <t>garlic</t>
  </si>
  <si>
    <t>butternut-squash</t>
  </si>
  <si>
    <t>yam</t>
  </si>
  <si>
    <t>camel</t>
  </si>
  <si>
    <t>cocoa</t>
  </si>
  <si>
    <t>taro</t>
  </si>
  <si>
    <t>french-bean</t>
  </si>
  <si>
    <t>african-nightshade</t>
  </si>
  <si>
    <t>mung-bean</t>
  </si>
  <si>
    <t>pigeon-pea</t>
  </si>
  <si>
    <t>eucalyptus</t>
  </si>
  <si>
    <t>tilapia</t>
  </si>
  <si>
    <t>beetroot</t>
  </si>
  <si>
    <t>coconut</t>
  </si>
  <si>
    <t>sisal</t>
  </si>
  <si>
    <t>miraa</t>
  </si>
  <si>
    <t>guava</t>
  </si>
  <si>
    <t>macademia</t>
  </si>
  <si>
    <t>lemon</t>
  </si>
  <si>
    <t>greens</t>
  </si>
  <si>
    <t>pyrethrum</t>
  </si>
  <si>
    <t>pear</t>
  </si>
  <si>
    <t>strawberry</t>
  </si>
  <si>
    <t>parsley</t>
  </si>
  <si>
    <t>boma-rhodes</t>
  </si>
  <si>
    <t>squash</t>
  </si>
  <si>
    <t>snow-pea</t>
  </si>
  <si>
    <t>cucumber</t>
  </si>
  <si>
    <t>chia</t>
  </si>
  <si>
    <t>jackfruit</t>
  </si>
  <si>
    <t>okra</t>
  </si>
  <si>
    <t>rapeseed</t>
  </si>
  <si>
    <t>finger-millet</t>
  </si>
  <si>
    <t>safflower</t>
  </si>
  <si>
    <t>clover</t>
  </si>
  <si>
    <t>bamboo</t>
  </si>
  <si>
    <t>acacia</t>
  </si>
  <si>
    <t>amaranth</t>
  </si>
  <si>
    <t>grape</t>
  </si>
  <si>
    <t>peach</t>
  </si>
  <si>
    <t>collard-greens</t>
  </si>
  <si>
    <t>ostrich</t>
  </si>
  <si>
    <t>desmodium</t>
  </si>
  <si>
    <t>nightshade</t>
  </si>
  <si>
    <t>radish</t>
  </si>
  <si>
    <t>brachiaria-grass</t>
  </si>
  <si>
    <t>barley</t>
  </si>
  <si>
    <t>locust</t>
  </si>
  <si>
    <t>cyprus</t>
  </si>
  <si>
    <t>lucern</t>
  </si>
  <si>
    <t>sesame</t>
  </si>
  <si>
    <t>oat</t>
  </si>
  <si>
    <t>corriander</t>
  </si>
  <si>
    <t>flax</t>
  </si>
  <si>
    <t>courgette</t>
  </si>
  <si>
    <t>black-nightshade</t>
  </si>
  <si>
    <t>guinea-pig</t>
  </si>
  <si>
    <t>broccoli</t>
  </si>
  <si>
    <t>gooseberry</t>
  </si>
  <si>
    <t>cauliflower</t>
  </si>
  <si>
    <t>lettuce</t>
  </si>
  <si>
    <t>sudan-grass</t>
  </si>
  <si>
    <t>chard</t>
  </si>
  <si>
    <t>chickpea</t>
  </si>
  <si>
    <t>leek</t>
  </si>
  <si>
    <t>asparagus</t>
  </si>
  <si>
    <t>celery</t>
  </si>
  <si>
    <t>caliandra</t>
  </si>
  <si>
    <t>snap-pea</t>
  </si>
  <si>
    <t>castor-bean</t>
  </si>
  <si>
    <t>apricot</t>
  </si>
  <si>
    <t>lupin</t>
  </si>
  <si>
    <t>rye</t>
  </si>
  <si>
    <t>blackberry</t>
  </si>
  <si>
    <t>vetch</t>
  </si>
  <si>
    <t>leucaena</t>
  </si>
  <si>
    <t>setaria</t>
  </si>
  <si>
    <t>mulberry</t>
  </si>
  <si>
    <t>purple-vetch</t>
  </si>
  <si>
    <t>cranberry</t>
  </si>
  <si>
    <t>Before Relabelling</t>
  </si>
  <si>
    <t>Difference</t>
  </si>
  <si>
    <t>After Relabelling V1</t>
  </si>
  <si>
    <t>After Relabelling V2</t>
  </si>
  <si>
    <t>After running the relabelling version 1 process on the valid entries for 'question_topic', the number of changes was  only</t>
  </si>
  <si>
    <t>After running the relabelling version 2 process on the valid entries for 'question_topic', the number of changes was 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</si>
</sst>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3" borderId="0" xfId="0" applyFont="1" applyFill="1"/>
    <xf numFmtId="0" fontId="1" fillId="2" borderId="0" xfId="0" applyFont="1" applyFill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7DC17-04F3-46AB-8576-80FE3F8E26BF}">
  <dimension ref="A1:J149"/>
  <sheetViews>
    <sheetView tabSelected="1" workbookViewId="0">
      <selection activeCell="I16" sqref="I16"/>
    </sheetView>
  </sheetViews>
  <sheetFormatPr defaultRowHeight="15" x14ac:dyDescent="0.25"/>
  <cols>
    <col min="1" max="1" width="18.140625" bestFit="1" customWidth="1"/>
    <col min="2" max="2" width="17.85546875" bestFit="1" customWidth="1"/>
    <col min="3" max="3" width="18.85546875" bestFit="1" customWidth="1"/>
    <col min="4" max="4" width="10.7109375" bestFit="1" customWidth="1"/>
    <col min="6" max="6" width="18.85546875" bestFit="1" customWidth="1"/>
    <col min="7" max="7" width="10.7109375" customWidth="1"/>
    <col min="9" max="9" width="111.28515625" bestFit="1" customWidth="1"/>
  </cols>
  <sheetData>
    <row r="1" spans="1:10" x14ac:dyDescent="0.25">
      <c r="B1" s="1" t="s">
        <v>148</v>
      </c>
      <c r="C1" s="1" t="s">
        <v>150</v>
      </c>
      <c r="D1" s="1" t="s">
        <v>149</v>
      </c>
      <c r="F1" s="1" t="s">
        <v>151</v>
      </c>
      <c r="G1" s="1" t="s">
        <v>149</v>
      </c>
    </row>
    <row r="2" spans="1:10" x14ac:dyDescent="0.25">
      <c r="A2" t="s">
        <v>104</v>
      </c>
      <c r="B2">
        <v>2806</v>
      </c>
      <c r="C2">
        <v>2806</v>
      </c>
      <c r="D2">
        <f>C2-B2</f>
        <v>0</v>
      </c>
      <c r="F2">
        <v>2903</v>
      </c>
      <c r="G2" s="2">
        <f>F2-B2</f>
        <v>97</v>
      </c>
      <c r="I2" s="4" t="s">
        <v>152</v>
      </c>
      <c r="J2" s="1" cm="1">
        <f t="array" ref="J2">SUM(ABS(D2:D149))/2</f>
        <v>56138</v>
      </c>
    </row>
    <row r="3" spans="1:10" x14ac:dyDescent="0.25">
      <c r="A3" t="s">
        <v>75</v>
      </c>
      <c r="B3">
        <v>8395</v>
      </c>
      <c r="C3">
        <v>8542</v>
      </c>
      <c r="D3" s="2">
        <f t="shared" ref="D3:D66" si="0">C3-B3</f>
        <v>147</v>
      </c>
      <c r="F3">
        <v>8889</v>
      </c>
      <c r="G3" s="2">
        <f t="shared" ref="G3:G66" si="1">F3-B3</f>
        <v>494</v>
      </c>
      <c r="I3" s="4" t="s">
        <v>153</v>
      </c>
      <c r="J3" s="1" cm="1">
        <f t="array" ref="J3">SUM(ABS(G2:G149))/2</f>
        <v>856941</v>
      </c>
    </row>
    <row r="4" spans="1:10" x14ac:dyDescent="0.25">
      <c r="A4" t="s">
        <v>105</v>
      </c>
      <c r="B4">
        <v>2373</v>
      </c>
      <c r="C4">
        <v>2373</v>
      </c>
      <c r="D4">
        <f t="shared" si="0"/>
        <v>0</v>
      </c>
      <c r="F4">
        <v>2458</v>
      </c>
      <c r="G4" s="2">
        <f t="shared" si="1"/>
        <v>85</v>
      </c>
    </row>
    <row r="5" spans="1:10" x14ac:dyDescent="0.25">
      <c r="A5" t="s">
        <v>18</v>
      </c>
      <c r="B5">
        <v>266384</v>
      </c>
      <c r="C5">
        <v>265912</v>
      </c>
      <c r="D5" s="3">
        <f t="shared" si="0"/>
        <v>-472</v>
      </c>
      <c r="F5">
        <v>243660</v>
      </c>
      <c r="G5" s="3">
        <f t="shared" si="1"/>
        <v>-22724</v>
      </c>
    </row>
    <row r="6" spans="1:10" x14ac:dyDescent="0.25">
      <c r="A6" t="s">
        <v>66</v>
      </c>
      <c r="B6">
        <v>14739</v>
      </c>
      <c r="C6">
        <v>14819</v>
      </c>
      <c r="D6" s="2">
        <f t="shared" si="0"/>
        <v>80</v>
      </c>
      <c r="F6">
        <v>19217</v>
      </c>
      <c r="G6" s="2">
        <f t="shared" si="1"/>
        <v>4478</v>
      </c>
    </row>
    <row r="7" spans="1:10" x14ac:dyDescent="0.25">
      <c r="A7" t="s">
        <v>138</v>
      </c>
      <c r="B7">
        <v>123</v>
      </c>
      <c r="C7">
        <v>123</v>
      </c>
      <c r="D7">
        <f t="shared" si="0"/>
        <v>0</v>
      </c>
      <c r="F7">
        <v>173</v>
      </c>
      <c r="G7" s="2">
        <f t="shared" si="1"/>
        <v>50</v>
      </c>
    </row>
    <row r="8" spans="1:10" x14ac:dyDescent="0.25">
      <c r="A8" t="s">
        <v>133</v>
      </c>
      <c r="B8">
        <v>169</v>
      </c>
      <c r="C8">
        <v>181</v>
      </c>
      <c r="D8" s="2">
        <f t="shared" si="0"/>
        <v>12</v>
      </c>
      <c r="F8">
        <v>219</v>
      </c>
      <c r="G8" s="2">
        <f t="shared" si="1"/>
        <v>50</v>
      </c>
    </row>
    <row r="9" spans="1:10" x14ac:dyDescent="0.25">
      <c r="A9" t="s">
        <v>57</v>
      </c>
      <c r="B9">
        <v>32429</v>
      </c>
      <c r="C9">
        <v>32433</v>
      </c>
      <c r="D9" s="2">
        <f t="shared" si="0"/>
        <v>4</v>
      </c>
      <c r="F9">
        <v>32442</v>
      </c>
      <c r="G9" s="2">
        <f t="shared" si="1"/>
        <v>13</v>
      </c>
    </row>
    <row r="10" spans="1:10" x14ac:dyDescent="0.25">
      <c r="A10" t="s">
        <v>42</v>
      </c>
      <c r="B10">
        <v>46216</v>
      </c>
      <c r="C10">
        <v>46383</v>
      </c>
      <c r="D10" s="2">
        <f t="shared" si="0"/>
        <v>167</v>
      </c>
      <c r="F10">
        <v>52027</v>
      </c>
      <c r="G10" s="2">
        <f t="shared" si="1"/>
        <v>5811</v>
      </c>
    </row>
    <row r="11" spans="1:10" x14ac:dyDescent="0.25">
      <c r="A11" t="s">
        <v>103</v>
      </c>
      <c r="B11">
        <v>2646</v>
      </c>
      <c r="C11">
        <v>2653</v>
      </c>
      <c r="D11" s="2">
        <f t="shared" si="0"/>
        <v>7</v>
      </c>
      <c r="F11">
        <v>3133</v>
      </c>
      <c r="G11" s="2">
        <f t="shared" si="1"/>
        <v>487</v>
      </c>
    </row>
    <row r="12" spans="1:10" x14ac:dyDescent="0.25">
      <c r="A12" t="s">
        <v>15</v>
      </c>
      <c r="B12">
        <v>330052</v>
      </c>
      <c r="C12">
        <v>332017</v>
      </c>
      <c r="D12" s="2">
        <f t="shared" si="0"/>
        <v>1965</v>
      </c>
      <c r="F12">
        <v>407218</v>
      </c>
      <c r="G12" s="2">
        <f t="shared" si="1"/>
        <v>77166</v>
      </c>
    </row>
    <row r="13" spans="1:10" x14ac:dyDescent="0.25">
      <c r="A13" t="s">
        <v>114</v>
      </c>
      <c r="B13">
        <v>1503</v>
      </c>
      <c r="C13">
        <v>1519</v>
      </c>
      <c r="D13" s="2">
        <f t="shared" si="0"/>
        <v>16</v>
      </c>
      <c r="F13">
        <v>1823</v>
      </c>
      <c r="G13" s="2">
        <f t="shared" si="1"/>
        <v>320</v>
      </c>
    </row>
    <row r="14" spans="1:10" x14ac:dyDescent="0.25">
      <c r="A14" t="s">
        <v>5</v>
      </c>
      <c r="B14">
        <v>732120</v>
      </c>
      <c r="C14">
        <v>718415</v>
      </c>
      <c r="D14" s="3">
        <f t="shared" si="0"/>
        <v>-13705</v>
      </c>
      <c r="F14">
        <v>629503</v>
      </c>
      <c r="G14" s="3">
        <f t="shared" si="1"/>
        <v>-102617</v>
      </c>
    </row>
    <row r="15" spans="1:10" x14ac:dyDescent="0.25">
      <c r="A15" t="s">
        <v>26</v>
      </c>
      <c r="B15">
        <v>96346</v>
      </c>
      <c r="C15">
        <v>96400</v>
      </c>
      <c r="D15" s="2">
        <f t="shared" si="0"/>
        <v>54</v>
      </c>
      <c r="F15">
        <v>97490</v>
      </c>
      <c r="G15" s="2">
        <f t="shared" si="1"/>
        <v>1144</v>
      </c>
    </row>
    <row r="16" spans="1:10" x14ac:dyDescent="0.25">
      <c r="A16" t="s">
        <v>80</v>
      </c>
      <c r="B16">
        <v>6274</v>
      </c>
      <c r="C16">
        <v>6325</v>
      </c>
      <c r="D16" s="2">
        <f t="shared" si="0"/>
        <v>51</v>
      </c>
      <c r="F16">
        <v>7238</v>
      </c>
      <c r="G16" s="2">
        <f t="shared" si="1"/>
        <v>964</v>
      </c>
    </row>
    <row r="17" spans="1:7" x14ac:dyDescent="0.25">
      <c r="A17" t="s">
        <v>40</v>
      </c>
      <c r="B17">
        <v>73689</v>
      </c>
      <c r="C17">
        <v>73569</v>
      </c>
      <c r="D17" s="3">
        <f t="shared" si="0"/>
        <v>-120</v>
      </c>
      <c r="F17">
        <v>68426</v>
      </c>
      <c r="G17" s="3">
        <f t="shared" si="1"/>
        <v>-5263</v>
      </c>
    </row>
    <row r="18" spans="1:7" x14ac:dyDescent="0.25">
      <c r="A18" t="s">
        <v>141</v>
      </c>
      <c r="B18">
        <v>47</v>
      </c>
      <c r="C18">
        <v>47</v>
      </c>
      <c r="D18">
        <f t="shared" si="0"/>
        <v>0</v>
      </c>
      <c r="F18">
        <v>47</v>
      </c>
      <c r="G18">
        <f t="shared" si="1"/>
        <v>0</v>
      </c>
    </row>
    <row r="19" spans="1:7" x14ac:dyDescent="0.25">
      <c r="A19" t="s">
        <v>123</v>
      </c>
      <c r="B19">
        <v>833</v>
      </c>
      <c r="C19">
        <v>833</v>
      </c>
      <c r="D19">
        <f t="shared" si="0"/>
        <v>0</v>
      </c>
      <c r="F19">
        <v>833</v>
      </c>
      <c r="G19">
        <f t="shared" si="1"/>
        <v>0</v>
      </c>
    </row>
    <row r="20" spans="1:7" x14ac:dyDescent="0.25">
      <c r="A20" t="s">
        <v>92</v>
      </c>
      <c r="B20">
        <v>3495</v>
      </c>
      <c r="C20">
        <v>5652</v>
      </c>
      <c r="D20" s="2">
        <f t="shared" si="0"/>
        <v>2157</v>
      </c>
      <c r="F20">
        <v>6580</v>
      </c>
      <c r="G20" s="2">
        <f t="shared" si="1"/>
        <v>3085</v>
      </c>
    </row>
    <row r="21" spans="1:7" x14ac:dyDescent="0.25">
      <c r="A21" t="s">
        <v>113</v>
      </c>
      <c r="B21">
        <v>1448</v>
      </c>
      <c r="C21">
        <v>1690</v>
      </c>
      <c r="D21" s="2">
        <f t="shared" si="0"/>
        <v>242</v>
      </c>
      <c r="F21">
        <v>1710</v>
      </c>
      <c r="G21" s="2">
        <f t="shared" si="1"/>
        <v>262</v>
      </c>
    </row>
    <row r="22" spans="1:7" x14ac:dyDescent="0.25">
      <c r="A22" t="s">
        <v>125</v>
      </c>
      <c r="B22">
        <v>570</v>
      </c>
      <c r="C22">
        <v>588</v>
      </c>
      <c r="D22" s="2">
        <f t="shared" si="0"/>
        <v>18</v>
      </c>
      <c r="F22">
        <v>726</v>
      </c>
      <c r="G22" s="2">
        <f t="shared" si="1"/>
        <v>156</v>
      </c>
    </row>
    <row r="23" spans="1:7" x14ac:dyDescent="0.25">
      <c r="A23" t="s">
        <v>69</v>
      </c>
      <c r="B23">
        <v>9685</v>
      </c>
      <c r="C23">
        <v>9805</v>
      </c>
      <c r="D23" s="2">
        <f t="shared" si="0"/>
        <v>120</v>
      </c>
      <c r="F23">
        <v>10410</v>
      </c>
      <c r="G23" s="2">
        <f t="shared" si="1"/>
        <v>725</v>
      </c>
    </row>
    <row r="24" spans="1:7" x14ac:dyDescent="0.25">
      <c r="A24" t="s">
        <v>16</v>
      </c>
      <c r="B24">
        <v>225372</v>
      </c>
      <c r="C24">
        <v>227472</v>
      </c>
      <c r="D24" s="2">
        <f t="shared" si="0"/>
        <v>2100</v>
      </c>
      <c r="F24">
        <v>261524</v>
      </c>
      <c r="G24" s="2">
        <f t="shared" si="1"/>
        <v>36152</v>
      </c>
    </row>
    <row r="25" spans="1:7" x14ac:dyDescent="0.25">
      <c r="A25" t="s">
        <v>135</v>
      </c>
      <c r="B25">
        <v>203</v>
      </c>
      <c r="C25">
        <v>203</v>
      </c>
      <c r="D25">
        <f t="shared" si="0"/>
        <v>0</v>
      </c>
      <c r="F25">
        <v>227</v>
      </c>
      <c r="G25" s="2">
        <f t="shared" si="1"/>
        <v>24</v>
      </c>
    </row>
    <row r="26" spans="1:7" x14ac:dyDescent="0.25">
      <c r="A26" t="s">
        <v>71</v>
      </c>
      <c r="B26">
        <v>10971</v>
      </c>
      <c r="C26">
        <v>10971</v>
      </c>
      <c r="D26">
        <f t="shared" si="0"/>
        <v>0</v>
      </c>
      <c r="F26">
        <v>11296</v>
      </c>
      <c r="G26" s="2">
        <f t="shared" si="1"/>
        <v>325</v>
      </c>
    </row>
    <row r="27" spans="1:7" x14ac:dyDescent="0.25">
      <c r="A27" t="s">
        <v>43</v>
      </c>
      <c r="B27">
        <v>43716</v>
      </c>
      <c r="C27">
        <v>43803</v>
      </c>
      <c r="D27" s="2">
        <f t="shared" si="0"/>
        <v>87</v>
      </c>
      <c r="F27">
        <v>44402</v>
      </c>
      <c r="G27" s="2">
        <f t="shared" si="1"/>
        <v>686</v>
      </c>
    </row>
    <row r="28" spans="1:7" x14ac:dyDescent="0.25">
      <c r="A28" t="s">
        <v>35</v>
      </c>
      <c r="B28">
        <v>62896</v>
      </c>
      <c r="C28">
        <v>63332</v>
      </c>
      <c r="D28" s="2">
        <f t="shared" si="0"/>
        <v>436</v>
      </c>
      <c r="F28">
        <v>78013</v>
      </c>
      <c r="G28" s="2">
        <f t="shared" si="1"/>
        <v>15117</v>
      </c>
    </row>
    <row r="29" spans="1:7" x14ac:dyDescent="0.25">
      <c r="A29" t="s">
        <v>63</v>
      </c>
      <c r="B29">
        <v>14595</v>
      </c>
      <c r="C29">
        <v>14595</v>
      </c>
      <c r="D29">
        <f t="shared" si="0"/>
        <v>0</v>
      </c>
      <c r="F29">
        <v>14739</v>
      </c>
      <c r="G29" s="2">
        <f t="shared" si="1"/>
        <v>144</v>
      </c>
    </row>
    <row r="30" spans="1:7" x14ac:dyDescent="0.25">
      <c r="A30" t="s">
        <v>28</v>
      </c>
      <c r="B30">
        <v>101297</v>
      </c>
      <c r="C30">
        <v>102158</v>
      </c>
      <c r="D30" s="2">
        <f t="shared" si="0"/>
        <v>861</v>
      </c>
      <c r="F30">
        <v>119579</v>
      </c>
      <c r="G30" s="2">
        <f t="shared" si="1"/>
        <v>18282</v>
      </c>
    </row>
    <row r="31" spans="1:7" x14ac:dyDescent="0.25">
      <c r="A31" t="s">
        <v>137</v>
      </c>
      <c r="B31">
        <v>135</v>
      </c>
      <c r="C31">
        <v>138</v>
      </c>
      <c r="D31" s="2">
        <f t="shared" si="0"/>
        <v>3</v>
      </c>
      <c r="F31">
        <v>187</v>
      </c>
      <c r="G31" s="2">
        <f t="shared" si="1"/>
        <v>52</v>
      </c>
    </row>
    <row r="32" spans="1:7" x14ac:dyDescent="0.25">
      <c r="A32" t="s">
        <v>62</v>
      </c>
      <c r="B32">
        <v>25596</v>
      </c>
      <c r="C32">
        <v>25632</v>
      </c>
      <c r="D32" s="2">
        <f t="shared" si="0"/>
        <v>36</v>
      </c>
      <c r="F32">
        <v>26895</v>
      </c>
      <c r="G32" s="2">
        <f t="shared" si="1"/>
        <v>1299</v>
      </c>
    </row>
    <row r="33" spans="1:7" x14ac:dyDescent="0.25">
      <c r="A33" t="s">
        <v>2</v>
      </c>
      <c r="B33">
        <v>1675473</v>
      </c>
      <c r="C33">
        <v>1676061</v>
      </c>
      <c r="D33" s="2">
        <f t="shared" si="0"/>
        <v>588</v>
      </c>
      <c r="F33">
        <v>1690363</v>
      </c>
      <c r="G33" s="2">
        <f t="shared" si="1"/>
        <v>14890</v>
      </c>
    </row>
    <row r="34" spans="1:7" x14ac:dyDescent="0.25">
      <c r="A34" t="s">
        <v>127</v>
      </c>
      <c r="B34">
        <v>415</v>
      </c>
      <c r="C34">
        <v>424</v>
      </c>
      <c r="D34" s="2">
        <f t="shared" si="0"/>
        <v>9</v>
      </c>
      <c r="F34">
        <v>512</v>
      </c>
      <c r="G34" s="2">
        <f t="shared" si="1"/>
        <v>97</v>
      </c>
    </row>
    <row r="35" spans="1:7" x14ac:dyDescent="0.25">
      <c r="A35" t="s">
        <v>134</v>
      </c>
      <c r="B35">
        <v>158</v>
      </c>
      <c r="C35">
        <v>168</v>
      </c>
      <c r="D35" s="2">
        <f t="shared" si="0"/>
        <v>10</v>
      </c>
      <c r="F35">
        <v>201</v>
      </c>
      <c r="G35" s="2">
        <f t="shared" si="1"/>
        <v>43</v>
      </c>
    </row>
    <row r="36" spans="1:7" x14ac:dyDescent="0.25">
      <c r="A36" t="s">
        <v>41</v>
      </c>
      <c r="B36">
        <v>71016</v>
      </c>
      <c r="C36">
        <v>71071</v>
      </c>
      <c r="D36" s="2">
        <f t="shared" si="0"/>
        <v>55</v>
      </c>
      <c r="F36">
        <v>74875</v>
      </c>
      <c r="G36" s="2">
        <f t="shared" si="1"/>
        <v>3859</v>
      </c>
    </row>
    <row r="37" spans="1:7" x14ac:dyDescent="0.25">
      <c r="A37" t="s">
        <v>130</v>
      </c>
      <c r="B37">
        <v>377</v>
      </c>
      <c r="C37">
        <v>377</v>
      </c>
      <c r="D37">
        <f t="shared" si="0"/>
        <v>0</v>
      </c>
      <c r="F37">
        <v>377</v>
      </c>
      <c r="G37">
        <f t="shared" si="1"/>
        <v>0</v>
      </c>
    </row>
    <row r="38" spans="1:7" x14ac:dyDescent="0.25">
      <c r="A38" t="s">
        <v>96</v>
      </c>
      <c r="B38">
        <v>2431</v>
      </c>
      <c r="C38">
        <v>2435</v>
      </c>
      <c r="D38" s="2">
        <f t="shared" si="0"/>
        <v>4</v>
      </c>
      <c r="F38">
        <v>2880</v>
      </c>
      <c r="G38" s="2">
        <f t="shared" si="1"/>
        <v>449</v>
      </c>
    </row>
    <row r="39" spans="1:7" x14ac:dyDescent="0.25">
      <c r="A39" t="s">
        <v>1</v>
      </c>
      <c r="B39">
        <v>1667251</v>
      </c>
      <c r="C39">
        <v>1668863</v>
      </c>
      <c r="D39" s="2">
        <f t="shared" si="0"/>
        <v>1612</v>
      </c>
      <c r="F39">
        <v>1680708</v>
      </c>
      <c r="G39" s="2">
        <f t="shared" si="1"/>
        <v>13457</v>
      </c>
    </row>
    <row r="40" spans="1:7" x14ac:dyDescent="0.25">
      <c r="A40" t="s">
        <v>131</v>
      </c>
      <c r="B40">
        <v>424</v>
      </c>
      <c r="C40">
        <v>425</v>
      </c>
      <c r="D40" s="2">
        <f t="shared" si="0"/>
        <v>1</v>
      </c>
      <c r="F40">
        <v>430</v>
      </c>
      <c r="G40" s="2">
        <f t="shared" si="1"/>
        <v>6</v>
      </c>
    </row>
    <row r="41" spans="1:7" x14ac:dyDescent="0.25">
      <c r="A41" t="s">
        <v>51</v>
      </c>
      <c r="B41">
        <v>27492</v>
      </c>
      <c r="C41">
        <v>27496</v>
      </c>
      <c r="D41" s="2">
        <f t="shared" si="0"/>
        <v>4</v>
      </c>
      <c r="F41">
        <v>27781</v>
      </c>
      <c r="G41" s="2">
        <f t="shared" si="1"/>
        <v>289</v>
      </c>
    </row>
    <row r="42" spans="1:7" x14ac:dyDescent="0.25">
      <c r="A42" t="s">
        <v>102</v>
      </c>
      <c r="B42">
        <v>5193</v>
      </c>
      <c r="C42">
        <v>5193</v>
      </c>
      <c r="D42">
        <f t="shared" si="0"/>
        <v>0</v>
      </c>
      <c r="F42">
        <v>5212</v>
      </c>
      <c r="G42" s="2">
        <f t="shared" si="1"/>
        <v>19</v>
      </c>
    </row>
    <row r="43" spans="1:7" x14ac:dyDescent="0.25">
      <c r="A43" t="s">
        <v>72</v>
      </c>
      <c r="B43">
        <v>8672</v>
      </c>
      <c r="C43">
        <v>8683</v>
      </c>
      <c r="D43" s="2">
        <f t="shared" si="0"/>
        <v>11</v>
      </c>
      <c r="F43">
        <v>10143</v>
      </c>
      <c r="G43" s="2">
        <f t="shared" si="1"/>
        <v>1471</v>
      </c>
    </row>
    <row r="44" spans="1:7" x14ac:dyDescent="0.25">
      <c r="A44" t="s">
        <v>81</v>
      </c>
      <c r="B44">
        <v>6032</v>
      </c>
      <c r="C44">
        <v>6067</v>
      </c>
      <c r="D44" s="2">
        <f t="shared" si="0"/>
        <v>35</v>
      </c>
      <c r="F44">
        <v>7163</v>
      </c>
      <c r="G44" s="2">
        <f t="shared" si="1"/>
        <v>1131</v>
      </c>
    </row>
    <row r="45" spans="1:7" x14ac:dyDescent="0.25">
      <c r="A45" t="s">
        <v>11</v>
      </c>
      <c r="B45">
        <v>286400</v>
      </c>
      <c r="C45">
        <v>287277</v>
      </c>
      <c r="D45" s="2">
        <f t="shared" si="0"/>
        <v>877</v>
      </c>
      <c r="F45">
        <v>318801</v>
      </c>
      <c r="G45" s="2">
        <f t="shared" si="1"/>
        <v>32401</v>
      </c>
    </row>
    <row r="46" spans="1:7" x14ac:dyDescent="0.25">
      <c r="A46" t="s">
        <v>108</v>
      </c>
      <c r="B46">
        <v>2967</v>
      </c>
      <c r="C46">
        <v>2974</v>
      </c>
      <c r="D46" s="2">
        <f t="shared" si="0"/>
        <v>7</v>
      </c>
      <c r="F46">
        <v>3098</v>
      </c>
      <c r="G46" s="2">
        <f t="shared" si="1"/>
        <v>131</v>
      </c>
    </row>
    <row r="47" spans="1:7" x14ac:dyDescent="0.25">
      <c r="A47" t="s">
        <v>120</v>
      </c>
      <c r="B47">
        <v>896</v>
      </c>
      <c r="C47">
        <v>896</v>
      </c>
      <c r="D47" s="2">
        <f t="shared" si="0"/>
        <v>0</v>
      </c>
      <c r="F47">
        <v>1083</v>
      </c>
      <c r="G47" s="2">
        <f t="shared" si="1"/>
        <v>187</v>
      </c>
    </row>
    <row r="48" spans="1:7" x14ac:dyDescent="0.25">
      <c r="A48" t="s">
        <v>17</v>
      </c>
      <c r="B48">
        <v>180314</v>
      </c>
      <c r="C48">
        <v>180432</v>
      </c>
      <c r="D48" s="2">
        <f t="shared" si="0"/>
        <v>118</v>
      </c>
      <c r="F48">
        <v>184044</v>
      </c>
      <c r="G48" s="2">
        <f t="shared" si="1"/>
        <v>3730</v>
      </c>
    </row>
    <row r="49" spans="1:7" x14ac:dyDescent="0.25">
      <c r="A49" t="s">
        <v>122</v>
      </c>
      <c r="B49">
        <v>825</v>
      </c>
      <c r="C49">
        <v>825</v>
      </c>
      <c r="D49">
        <f t="shared" si="0"/>
        <v>0</v>
      </c>
      <c r="F49">
        <v>926</v>
      </c>
      <c r="G49" s="2">
        <f t="shared" si="1"/>
        <v>101</v>
      </c>
    </row>
    <row r="50" spans="1:7" x14ac:dyDescent="0.25">
      <c r="A50" t="s">
        <v>60</v>
      </c>
      <c r="B50">
        <v>24642</v>
      </c>
      <c r="C50">
        <v>24925</v>
      </c>
      <c r="D50" s="2">
        <f t="shared" si="0"/>
        <v>283</v>
      </c>
      <c r="F50">
        <v>26405</v>
      </c>
      <c r="G50" s="2">
        <f t="shared" si="1"/>
        <v>1763</v>
      </c>
    </row>
    <row r="51" spans="1:7" x14ac:dyDescent="0.25">
      <c r="A51" t="s">
        <v>147</v>
      </c>
      <c r="B51">
        <v>6</v>
      </c>
      <c r="C51">
        <v>6</v>
      </c>
      <c r="D51">
        <f t="shared" si="0"/>
        <v>0</v>
      </c>
      <c r="F51">
        <v>6</v>
      </c>
      <c r="G51">
        <f t="shared" si="1"/>
        <v>0</v>
      </c>
    </row>
    <row r="52" spans="1:7" x14ac:dyDescent="0.25">
      <c r="A52" t="s">
        <v>10</v>
      </c>
      <c r="B52">
        <v>602913</v>
      </c>
      <c r="C52">
        <v>602070</v>
      </c>
      <c r="D52" s="3">
        <f t="shared" si="0"/>
        <v>-843</v>
      </c>
      <c r="F52">
        <v>515084</v>
      </c>
      <c r="G52" s="3">
        <f t="shared" si="1"/>
        <v>-87829</v>
      </c>
    </row>
    <row r="53" spans="1:7" x14ac:dyDescent="0.25">
      <c r="A53" t="s">
        <v>95</v>
      </c>
      <c r="B53">
        <v>2929</v>
      </c>
      <c r="C53">
        <v>2946</v>
      </c>
      <c r="D53" s="2">
        <f t="shared" si="0"/>
        <v>17</v>
      </c>
      <c r="F53">
        <v>3582</v>
      </c>
      <c r="G53" s="2">
        <f t="shared" si="1"/>
        <v>653</v>
      </c>
    </row>
    <row r="54" spans="1:7" x14ac:dyDescent="0.25">
      <c r="A54" t="s">
        <v>116</v>
      </c>
      <c r="B54">
        <v>1570</v>
      </c>
      <c r="C54">
        <v>1576</v>
      </c>
      <c r="D54" s="2">
        <f t="shared" si="0"/>
        <v>6</v>
      </c>
      <c r="F54">
        <v>4010</v>
      </c>
      <c r="G54" s="2">
        <f t="shared" si="1"/>
        <v>2440</v>
      </c>
    </row>
    <row r="55" spans="1:7" x14ac:dyDescent="0.25">
      <c r="A55" t="s">
        <v>110</v>
      </c>
      <c r="B55">
        <v>2926</v>
      </c>
      <c r="C55">
        <v>2943</v>
      </c>
      <c r="D55" s="2">
        <f t="shared" si="0"/>
        <v>17</v>
      </c>
      <c r="F55">
        <v>3643</v>
      </c>
      <c r="G55" s="2">
        <f t="shared" si="1"/>
        <v>717</v>
      </c>
    </row>
    <row r="56" spans="1:7" x14ac:dyDescent="0.25">
      <c r="A56" t="s">
        <v>39</v>
      </c>
      <c r="B56">
        <v>54061</v>
      </c>
      <c r="C56">
        <v>54100</v>
      </c>
      <c r="D56" s="2">
        <f t="shared" si="0"/>
        <v>39</v>
      </c>
      <c r="F56">
        <v>54835</v>
      </c>
      <c r="G56" s="2">
        <f t="shared" si="1"/>
        <v>774</v>
      </c>
    </row>
    <row r="57" spans="1:7" x14ac:dyDescent="0.25">
      <c r="A57" t="s">
        <v>34</v>
      </c>
      <c r="B57">
        <v>93717</v>
      </c>
      <c r="C57">
        <v>93786</v>
      </c>
      <c r="D57" s="2">
        <f t="shared" si="0"/>
        <v>69</v>
      </c>
      <c r="F57">
        <v>94753</v>
      </c>
      <c r="G57" s="2">
        <f t="shared" si="1"/>
        <v>1036</v>
      </c>
    </row>
    <row r="58" spans="1:7" x14ac:dyDescent="0.25">
      <c r="A58" t="s">
        <v>78</v>
      </c>
      <c r="B58">
        <v>11154</v>
      </c>
      <c r="C58">
        <v>11154</v>
      </c>
      <c r="D58">
        <f t="shared" si="0"/>
        <v>0</v>
      </c>
      <c r="F58">
        <v>11154</v>
      </c>
      <c r="G58">
        <f t="shared" si="1"/>
        <v>0</v>
      </c>
    </row>
    <row r="59" spans="1:7" x14ac:dyDescent="0.25">
      <c r="A59" t="s">
        <v>100</v>
      </c>
      <c r="B59">
        <v>3847</v>
      </c>
      <c r="C59">
        <v>3847</v>
      </c>
      <c r="D59">
        <f t="shared" si="0"/>
        <v>0</v>
      </c>
      <c r="F59">
        <v>3887</v>
      </c>
      <c r="G59" s="2">
        <f t="shared" si="1"/>
        <v>40</v>
      </c>
    </row>
    <row r="60" spans="1:7" x14ac:dyDescent="0.25">
      <c r="A60" t="s">
        <v>31</v>
      </c>
      <c r="B60">
        <v>73386</v>
      </c>
      <c r="C60">
        <v>73003</v>
      </c>
      <c r="D60" s="3">
        <f t="shared" si="0"/>
        <v>-383</v>
      </c>
      <c r="F60">
        <v>69543</v>
      </c>
      <c r="G60" s="3">
        <f t="shared" si="1"/>
        <v>-3843</v>
      </c>
    </row>
    <row r="61" spans="1:7" x14ac:dyDescent="0.25">
      <c r="A61" t="s">
        <v>121</v>
      </c>
      <c r="B61">
        <v>1414</v>
      </c>
      <c r="C61">
        <v>1414</v>
      </c>
      <c r="D61">
        <f t="shared" si="0"/>
        <v>0</v>
      </c>
      <c r="F61">
        <v>1422</v>
      </c>
      <c r="G61" s="2">
        <f t="shared" si="1"/>
        <v>8</v>
      </c>
    </row>
    <row r="62" spans="1:7" x14ac:dyDescent="0.25">
      <c r="A62" t="s">
        <v>74</v>
      </c>
      <c r="B62">
        <v>11859</v>
      </c>
      <c r="C62">
        <v>22374</v>
      </c>
      <c r="D62" s="2">
        <f t="shared" si="0"/>
        <v>10515</v>
      </c>
      <c r="F62">
        <v>24636</v>
      </c>
      <c r="G62" s="2">
        <f t="shared" si="1"/>
        <v>12777</v>
      </c>
    </row>
    <row r="63" spans="1:7" x14ac:dyDescent="0.25">
      <c r="A63" t="s">
        <v>68</v>
      </c>
      <c r="B63">
        <v>12963</v>
      </c>
      <c r="C63">
        <v>13058</v>
      </c>
      <c r="D63" s="2">
        <f t="shared" si="0"/>
        <v>95</v>
      </c>
      <c r="F63">
        <v>14203</v>
      </c>
      <c r="G63" s="2">
        <f t="shared" si="1"/>
        <v>1240</v>
      </c>
    </row>
    <row r="64" spans="1:7" x14ac:dyDescent="0.25">
      <c r="A64" t="s">
        <v>53</v>
      </c>
      <c r="B64">
        <v>17712</v>
      </c>
      <c r="C64">
        <v>17741</v>
      </c>
      <c r="D64" s="2">
        <f t="shared" si="0"/>
        <v>29</v>
      </c>
      <c r="F64">
        <v>19165</v>
      </c>
      <c r="G64" s="2">
        <f t="shared" si="1"/>
        <v>1453</v>
      </c>
    </row>
    <row r="65" spans="1:7" x14ac:dyDescent="0.25">
      <c r="A65" t="s">
        <v>8</v>
      </c>
      <c r="B65">
        <v>434284</v>
      </c>
      <c r="C65">
        <v>434542</v>
      </c>
      <c r="D65" s="2">
        <f t="shared" si="0"/>
        <v>258</v>
      </c>
      <c r="F65">
        <v>437603</v>
      </c>
      <c r="G65" s="2">
        <f t="shared" si="1"/>
        <v>3319</v>
      </c>
    </row>
    <row r="66" spans="1:7" x14ac:dyDescent="0.25">
      <c r="A66" t="s">
        <v>126</v>
      </c>
      <c r="B66">
        <v>432</v>
      </c>
      <c r="C66">
        <v>432</v>
      </c>
      <c r="D66">
        <f t="shared" si="0"/>
        <v>0</v>
      </c>
      <c r="F66">
        <v>455</v>
      </c>
      <c r="G66" s="2">
        <f t="shared" si="1"/>
        <v>23</v>
      </c>
    </row>
    <row r="67" spans="1:7" x14ac:dyDescent="0.25">
      <c r="A67" t="s">
        <v>106</v>
      </c>
      <c r="B67">
        <v>1433</v>
      </c>
      <c r="C67">
        <v>1441</v>
      </c>
      <c r="D67" s="2">
        <f t="shared" ref="D67:D130" si="2">C67-B67</f>
        <v>8</v>
      </c>
      <c r="F67">
        <v>1697</v>
      </c>
      <c r="G67" s="2">
        <f t="shared" ref="G67:G130" si="3">F67-B67</f>
        <v>264</v>
      </c>
    </row>
    <row r="68" spans="1:7" x14ac:dyDescent="0.25">
      <c r="A68" t="s">
        <v>38</v>
      </c>
      <c r="B68">
        <v>101536</v>
      </c>
      <c r="C68">
        <v>87620</v>
      </c>
      <c r="D68" s="3">
        <f t="shared" si="2"/>
        <v>-13916</v>
      </c>
      <c r="F68">
        <v>79758</v>
      </c>
      <c r="G68" s="3">
        <f t="shared" si="3"/>
        <v>-21778</v>
      </c>
    </row>
    <row r="69" spans="1:7" x14ac:dyDescent="0.25">
      <c r="A69" t="s">
        <v>87</v>
      </c>
      <c r="B69">
        <v>7043</v>
      </c>
      <c r="C69">
        <v>5764</v>
      </c>
      <c r="D69" s="3">
        <f t="shared" si="2"/>
        <v>-1279</v>
      </c>
      <c r="F69">
        <v>5388</v>
      </c>
      <c r="G69" s="3">
        <f t="shared" si="3"/>
        <v>-1655</v>
      </c>
    </row>
    <row r="70" spans="1:7" x14ac:dyDescent="0.25">
      <c r="A70" t="s">
        <v>84</v>
      </c>
      <c r="B70">
        <v>5285</v>
      </c>
      <c r="C70">
        <v>5285</v>
      </c>
      <c r="D70">
        <f t="shared" si="2"/>
        <v>0</v>
      </c>
      <c r="F70">
        <v>5509</v>
      </c>
      <c r="G70" s="2">
        <f t="shared" si="3"/>
        <v>224</v>
      </c>
    </row>
    <row r="71" spans="1:7" x14ac:dyDescent="0.25">
      <c r="A71" t="s">
        <v>58</v>
      </c>
      <c r="B71">
        <v>25377</v>
      </c>
      <c r="C71">
        <v>25588</v>
      </c>
      <c r="D71" s="2">
        <f t="shared" si="2"/>
        <v>211</v>
      </c>
      <c r="F71">
        <v>28084</v>
      </c>
      <c r="G71" s="2">
        <f t="shared" si="3"/>
        <v>2707</v>
      </c>
    </row>
    <row r="72" spans="1:7" x14ac:dyDescent="0.25">
      <c r="A72" t="s">
        <v>124</v>
      </c>
      <c r="B72">
        <v>838</v>
      </c>
      <c r="C72">
        <v>838</v>
      </c>
      <c r="D72">
        <f t="shared" si="2"/>
        <v>0</v>
      </c>
      <c r="F72">
        <v>838</v>
      </c>
      <c r="G72">
        <f t="shared" si="3"/>
        <v>0</v>
      </c>
    </row>
    <row r="73" spans="1:7" x14ac:dyDescent="0.25">
      <c r="A73" t="s">
        <v>97</v>
      </c>
      <c r="B73">
        <v>2929</v>
      </c>
      <c r="C73">
        <v>2973</v>
      </c>
      <c r="D73" s="2">
        <f t="shared" si="2"/>
        <v>44</v>
      </c>
      <c r="F73">
        <v>3232</v>
      </c>
      <c r="G73" s="2">
        <f t="shared" si="3"/>
        <v>303</v>
      </c>
    </row>
    <row r="74" spans="1:7" x14ac:dyDescent="0.25">
      <c r="A74" t="s">
        <v>27</v>
      </c>
      <c r="B74">
        <v>118875</v>
      </c>
      <c r="C74">
        <v>119639</v>
      </c>
      <c r="D74" s="2">
        <f t="shared" si="2"/>
        <v>764</v>
      </c>
      <c r="F74">
        <v>126187</v>
      </c>
      <c r="G74" s="2">
        <f t="shared" si="3"/>
        <v>7312</v>
      </c>
    </row>
    <row r="75" spans="1:7" x14ac:dyDescent="0.25">
      <c r="A75" t="s">
        <v>132</v>
      </c>
      <c r="B75">
        <v>266</v>
      </c>
      <c r="C75">
        <v>272</v>
      </c>
      <c r="D75" s="2">
        <f t="shared" si="2"/>
        <v>6</v>
      </c>
      <c r="F75">
        <v>311</v>
      </c>
      <c r="G75" s="2">
        <f t="shared" si="3"/>
        <v>45</v>
      </c>
    </row>
    <row r="76" spans="1:7" x14ac:dyDescent="0.25">
      <c r="A76" t="s">
        <v>86</v>
      </c>
      <c r="B76">
        <v>4730</v>
      </c>
      <c r="C76">
        <v>4749</v>
      </c>
      <c r="D76" s="2">
        <f t="shared" si="2"/>
        <v>19</v>
      </c>
      <c r="F76">
        <v>5993</v>
      </c>
      <c r="G76" s="2">
        <f t="shared" si="3"/>
        <v>1263</v>
      </c>
    </row>
    <row r="77" spans="1:7" x14ac:dyDescent="0.25">
      <c r="A77" t="s">
        <v>128</v>
      </c>
      <c r="B77">
        <v>470</v>
      </c>
      <c r="C77">
        <v>482</v>
      </c>
      <c r="D77" s="2">
        <f t="shared" si="2"/>
        <v>12</v>
      </c>
      <c r="F77">
        <v>596</v>
      </c>
      <c r="G77" s="2">
        <f t="shared" si="3"/>
        <v>126</v>
      </c>
    </row>
    <row r="78" spans="1:7" x14ac:dyDescent="0.25">
      <c r="A78" t="s">
        <v>143</v>
      </c>
      <c r="B78">
        <v>123</v>
      </c>
      <c r="C78">
        <v>123</v>
      </c>
      <c r="D78">
        <f t="shared" si="2"/>
        <v>0</v>
      </c>
      <c r="F78">
        <v>152</v>
      </c>
      <c r="G78" s="2">
        <f t="shared" si="3"/>
        <v>29</v>
      </c>
    </row>
    <row r="79" spans="1:7" x14ac:dyDescent="0.25">
      <c r="A79" t="s">
        <v>23</v>
      </c>
      <c r="B79">
        <v>210497</v>
      </c>
      <c r="C79">
        <v>210749</v>
      </c>
      <c r="D79" s="2">
        <f t="shared" si="2"/>
        <v>252</v>
      </c>
      <c r="F79">
        <v>214241</v>
      </c>
      <c r="G79" s="2">
        <f t="shared" si="3"/>
        <v>3744</v>
      </c>
    </row>
    <row r="80" spans="1:7" x14ac:dyDescent="0.25">
      <c r="A80" t="s">
        <v>115</v>
      </c>
      <c r="B80">
        <v>1151</v>
      </c>
      <c r="C80">
        <v>1166</v>
      </c>
      <c r="D80" s="2">
        <f t="shared" si="2"/>
        <v>15</v>
      </c>
      <c r="F80">
        <v>2202</v>
      </c>
      <c r="G80" s="2">
        <f t="shared" si="3"/>
        <v>1051</v>
      </c>
    </row>
    <row r="81" spans="1:7" x14ac:dyDescent="0.25">
      <c r="A81" t="s">
        <v>117</v>
      </c>
      <c r="B81">
        <v>1857</v>
      </c>
      <c r="C81">
        <v>1873</v>
      </c>
      <c r="D81" s="2">
        <f t="shared" si="2"/>
        <v>16</v>
      </c>
      <c r="F81">
        <v>2453</v>
      </c>
      <c r="G81" s="2">
        <f t="shared" si="3"/>
        <v>596</v>
      </c>
    </row>
    <row r="82" spans="1:7" x14ac:dyDescent="0.25">
      <c r="A82" t="s">
        <v>139</v>
      </c>
      <c r="B82">
        <v>179</v>
      </c>
      <c r="C82">
        <v>179</v>
      </c>
      <c r="D82">
        <f t="shared" si="2"/>
        <v>0</v>
      </c>
      <c r="F82">
        <v>240</v>
      </c>
      <c r="G82" s="2">
        <f t="shared" si="3"/>
        <v>61</v>
      </c>
    </row>
    <row r="83" spans="1:7" x14ac:dyDescent="0.25">
      <c r="A83" t="s">
        <v>85</v>
      </c>
      <c r="B83">
        <v>4204</v>
      </c>
      <c r="C83">
        <v>4214</v>
      </c>
      <c r="D83" s="2">
        <f t="shared" si="2"/>
        <v>10</v>
      </c>
      <c r="F83">
        <v>5496</v>
      </c>
      <c r="G83" s="2">
        <f t="shared" si="3"/>
        <v>1292</v>
      </c>
    </row>
    <row r="84" spans="1:7" x14ac:dyDescent="0.25">
      <c r="A84" t="s">
        <v>0</v>
      </c>
      <c r="B84">
        <v>2201755</v>
      </c>
      <c r="C84">
        <v>2212189</v>
      </c>
      <c r="D84" s="2">
        <f t="shared" si="2"/>
        <v>10434</v>
      </c>
      <c r="F84">
        <v>2504896</v>
      </c>
      <c r="G84" s="2">
        <f t="shared" si="3"/>
        <v>303141</v>
      </c>
    </row>
    <row r="85" spans="1:7" x14ac:dyDescent="0.25">
      <c r="A85" t="s">
        <v>45</v>
      </c>
      <c r="B85">
        <v>40279</v>
      </c>
      <c r="C85">
        <v>40417</v>
      </c>
      <c r="D85" s="2">
        <f t="shared" si="2"/>
        <v>138</v>
      </c>
      <c r="F85">
        <v>50102</v>
      </c>
      <c r="G85" s="2">
        <f t="shared" si="3"/>
        <v>9823</v>
      </c>
    </row>
    <row r="86" spans="1:7" x14ac:dyDescent="0.25">
      <c r="A86" t="s">
        <v>46</v>
      </c>
      <c r="B86">
        <v>47282</v>
      </c>
      <c r="C86">
        <v>47546</v>
      </c>
      <c r="D86" s="2">
        <f t="shared" si="2"/>
        <v>264</v>
      </c>
      <c r="F86">
        <v>56090</v>
      </c>
      <c r="G86" s="2">
        <f t="shared" si="3"/>
        <v>8808</v>
      </c>
    </row>
    <row r="87" spans="1:7" x14ac:dyDescent="0.25">
      <c r="A87" t="s">
        <v>32</v>
      </c>
      <c r="B87">
        <v>95517</v>
      </c>
      <c r="C87">
        <v>92357</v>
      </c>
      <c r="D87" s="3">
        <f t="shared" si="2"/>
        <v>-3160</v>
      </c>
      <c r="F87">
        <v>87659</v>
      </c>
      <c r="G87" s="3">
        <f t="shared" si="3"/>
        <v>-7858</v>
      </c>
    </row>
    <row r="88" spans="1:7" x14ac:dyDescent="0.25">
      <c r="A88" t="s">
        <v>83</v>
      </c>
      <c r="B88">
        <v>6157</v>
      </c>
      <c r="C88">
        <v>6182</v>
      </c>
      <c r="D88" s="2">
        <f t="shared" si="2"/>
        <v>25</v>
      </c>
      <c r="F88">
        <v>7337</v>
      </c>
      <c r="G88" s="2">
        <f t="shared" si="3"/>
        <v>1180</v>
      </c>
    </row>
    <row r="89" spans="1:7" x14ac:dyDescent="0.25">
      <c r="A89" t="s">
        <v>145</v>
      </c>
      <c r="B89">
        <v>55</v>
      </c>
      <c r="C89">
        <v>55</v>
      </c>
      <c r="D89">
        <f t="shared" si="2"/>
        <v>0</v>
      </c>
      <c r="F89">
        <v>85</v>
      </c>
      <c r="G89" s="2">
        <f t="shared" si="3"/>
        <v>30</v>
      </c>
    </row>
    <row r="90" spans="1:7" x14ac:dyDescent="0.25">
      <c r="A90" t="s">
        <v>76</v>
      </c>
      <c r="B90">
        <v>9004</v>
      </c>
      <c r="C90">
        <v>9008</v>
      </c>
      <c r="D90" s="2">
        <f t="shared" si="2"/>
        <v>4</v>
      </c>
      <c r="F90">
        <v>9009</v>
      </c>
      <c r="G90" s="2">
        <f t="shared" si="3"/>
        <v>5</v>
      </c>
    </row>
    <row r="91" spans="1:7" x14ac:dyDescent="0.25">
      <c r="A91" t="s">
        <v>55</v>
      </c>
      <c r="B91">
        <v>18757</v>
      </c>
      <c r="C91">
        <v>18831</v>
      </c>
      <c r="D91" s="2">
        <f t="shared" si="2"/>
        <v>74</v>
      </c>
      <c r="F91">
        <v>20482</v>
      </c>
      <c r="G91" s="2">
        <f t="shared" si="3"/>
        <v>1725</v>
      </c>
    </row>
    <row r="92" spans="1:7" x14ac:dyDescent="0.25">
      <c r="A92" t="s">
        <v>47</v>
      </c>
      <c r="B92">
        <v>49977</v>
      </c>
      <c r="C92">
        <v>61215</v>
      </c>
      <c r="D92" s="2">
        <f t="shared" si="2"/>
        <v>11238</v>
      </c>
      <c r="F92">
        <v>62114</v>
      </c>
      <c r="G92" s="2">
        <f t="shared" si="3"/>
        <v>12137</v>
      </c>
    </row>
    <row r="93" spans="1:7" x14ac:dyDescent="0.25">
      <c r="A93" t="s">
        <v>111</v>
      </c>
      <c r="B93">
        <v>1666</v>
      </c>
      <c r="C93">
        <v>1460</v>
      </c>
      <c r="D93" s="3">
        <f t="shared" si="2"/>
        <v>-206</v>
      </c>
      <c r="F93">
        <v>1375</v>
      </c>
      <c r="G93" s="3">
        <f t="shared" si="3"/>
        <v>-291</v>
      </c>
    </row>
    <row r="94" spans="1:7" x14ac:dyDescent="0.25">
      <c r="A94" t="s">
        <v>119</v>
      </c>
      <c r="B94">
        <v>1369</v>
      </c>
      <c r="C94">
        <v>1388</v>
      </c>
      <c r="D94" s="2">
        <f t="shared" si="2"/>
        <v>19</v>
      </c>
      <c r="F94">
        <v>1718</v>
      </c>
      <c r="G94" s="2">
        <f t="shared" si="3"/>
        <v>349</v>
      </c>
    </row>
    <row r="95" spans="1:7" x14ac:dyDescent="0.25">
      <c r="A95" t="s">
        <v>98</v>
      </c>
      <c r="B95">
        <v>2553</v>
      </c>
      <c r="C95">
        <v>2577</v>
      </c>
      <c r="D95" s="2">
        <f t="shared" si="2"/>
        <v>24</v>
      </c>
      <c r="F95">
        <v>3215</v>
      </c>
      <c r="G95" s="2">
        <f t="shared" si="3"/>
        <v>662</v>
      </c>
    </row>
    <row r="96" spans="1:7" x14ac:dyDescent="0.25">
      <c r="A96" t="s">
        <v>67</v>
      </c>
      <c r="B96">
        <v>27239</v>
      </c>
      <c r="C96">
        <v>27239</v>
      </c>
      <c r="D96">
        <f t="shared" si="2"/>
        <v>0</v>
      </c>
      <c r="F96">
        <v>27380</v>
      </c>
      <c r="G96" s="2">
        <f t="shared" si="3"/>
        <v>141</v>
      </c>
    </row>
    <row r="97" spans="1:7" x14ac:dyDescent="0.25">
      <c r="A97" t="s">
        <v>13</v>
      </c>
      <c r="B97">
        <v>245854</v>
      </c>
      <c r="C97">
        <v>246680</v>
      </c>
      <c r="D97" s="2">
        <f t="shared" si="2"/>
        <v>826</v>
      </c>
      <c r="F97">
        <v>270412</v>
      </c>
      <c r="G97" s="2">
        <f t="shared" si="3"/>
        <v>24558</v>
      </c>
    </row>
    <row r="98" spans="1:7" x14ac:dyDescent="0.25">
      <c r="A98" t="s">
        <v>49</v>
      </c>
      <c r="B98">
        <v>34538</v>
      </c>
      <c r="C98">
        <v>34663</v>
      </c>
      <c r="D98" s="2">
        <f t="shared" si="2"/>
        <v>125</v>
      </c>
      <c r="F98">
        <v>40499</v>
      </c>
      <c r="G98" s="2">
        <f t="shared" si="3"/>
        <v>5961</v>
      </c>
    </row>
    <row r="99" spans="1:7" x14ac:dyDescent="0.25">
      <c r="A99" t="s">
        <v>109</v>
      </c>
      <c r="B99">
        <v>1767</v>
      </c>
      <c r="C99">
        <v>1767</v>
      </c>
      <c r="D99">
        <f t="shared" si="2"/>
        <v>0</v>
      </c>
      <c r="F99">
        <v>1849</v>
      </c>
      <c r="G99" s="2">
        <f t="shared" si="3"/>
        <v>82</v>
      </c>
    </row>
    <row r="100" spans="1:7" x14ac:dyDescent="0.25">
      <c r="A100" t="s">
        <v>91</v>
      </c>
      <c r="B100">
        <v>3224</v>
      </c>
      <c r="C100">
        <v>3224</v>
      </c>
      <c r="D100">
        <f t="shared" si="2"/>
        <v>0</v>
      </c>
      <c r="F100">
        <v>3230</v>
      </c>
      <c r="G100" s="2">
        <f t="shared" si="3"/>
        <v>6</v>
      </c>
    </row>
    <row r="101" spans="1:7" x14ac:dyDescent="0.25">
      <c r="A101" t="s">
        <v>21</v>
      </c>
      <c r="B101">
        <v>104496</v>
      </c>
      <c r="C101">
        <v>104510</v>
      </c>
      <c r="D101" s="2">
        <f t="shared" si="2"/>
        <v>14</v>
      </c>
      <c r="F101">
        <v>108470</v>
      </c>
      <c r="G101" s="2">
        <f t="shared" si="3"/>
        <v>3974</v>
      </c>
    </row>
    <row r="102" spans="1:7" x14ac:dyDescent="0.25">
      <c r="A102" t="s">
        <v>61</v>
      </c>
      <c r="B102">
        <v>19931</v>
      </c>
      <c r="C102">
        <v>20021</v>
      </c>
      <c r="D102" s="2">
        <f t="shared" si="2"/>
        <v>90</v>
      </c>
      <c r="F102">
        <v>23953</v>
      </c>
      <c r="G102" s="2">
        <f t="shared" si="3"/>
        <v>4022</v>
      </c>
    </row>
    <row r="103" spans="1:7" x14ac:dyDescent="0.25">
      <c r="A103" t="s">
        <v>50</v>
      </c>
      <c r="B103">
        <v>31696</v>
      </c>
      <c r="C103">
        <v>31032</v>
      </c>
      <c r="D103" s="3">
        <f t="shared" si="2"/>
        <v>-664</v>
      </c>
      <c r="F103">
        <v>28252</v>
      </c>
      <c r="G103" s="3">
        <f t="shared" si="3"/>
        <v>-3444</v>
      </c>
    </row>
    <row r="104" spans="1:7" x14ac:dyDescent="0.25">
      <c r="A104" t="s">
        <v>107</v>
      </c>
      <c r="B104">
        <v>3513</v>
      </c>
      <c r="C104">
        <v>3513</v>
      </c>
      <c r="D104">
        <f t="shared" si="2"/>
        <v>0</v>
      </c>
      <c r="F104">
        <v>3525</v>
      </c>
      <c r="G104" s="2">
        <f t="shared" si="3"/>
        <v>12</v>
      </c>
    </row>
    <row r="105" spans="1:7" x14ac:dyDescent="0.25">
      <c r="A105" t="s">
        <v>22</v>
      </c>
      <c r="B105">
        <v>127392</v>
      </c>
      <c r="C105">
        <v>127395</v>
      </c>
      <c r="D105" s="2">
        <f t="shared" si="2"/>
        <v>3</v>
      </c>
      <c r="F105">
        <v>127541</v>
      </c>
      <c r="G105" s="2">
        <f t="shared" si="3"/>
        <v>149</v>
      </c>
    </row>
    <row r="106" spans="1:7" x14ac:dyDescent="0.25">
      <c r="A106" t="s">
        <v>89</v>
      </c>
      <c r="B106">
        <v>7614</v>
      </c>
      <c r="C106">
        <v>7618</v>
      </c>
      <c r="D106" s="2">
        <f t="shared" si="2"/>
        <v>4</v>
      </c>
      <c r="F106">
        <v>7782</v>
      </c>
      <c r="G106" s="2">
        <f t="shared" si="3"/>
        <v>168</v>
      </c>
    </row>
    <row r="107" spans="1:7" x14ac:dyDescent="0.25">
      <c r="A107" t="s">
        <v>7</v>
      </c>
      <c r="B107">
        <v>405320</v>
      </c>
      <c r="C107">
        <v>405560</v>
      </c>
      <c r="D107" s="2">
        <f t="shared" si="2"/>
        <v>240</v>
      </c>
      <c r="F107">
        <v>409069</v>
      </c>
      <c r="G107" s="2">
        <f t="shared" si="3"/>
        <v>3749</v>
      </c>
    </row>
    <row r="108" spans="1:7" x14ac:dyDescent="0.25">
      <c r="A108" t="s">
        <v>52</v>
      </c>
      <c r="B108">
        <v>28695</v>
      </c>
      <c r="C108">
        <v>28698</v>
      </c>
      <c r="D108" s="2">
        <f t="shared" si="2"/>
        <v>3</v>
      </c>
      <c r="F108">
        <v>28758</v>
      </c>
      <c r="G108" s="2">
        <f t="shared" si="3"/>
        <v>63</v>
      </c>
    </row>
    <row r="109" spans="1:7" x14ac:dyDescent="0.25">
      <c r="A109" t="s">
        <v>77</v>
      </c>
      <c r="B109">
        <v>6988</v>
      </c>
      <c r="C109">
        <v>6988</v>
      </c>
      <c r="D109">
        <f t="shared" si="2"/>
        <v>0</v>
      </c>
      <c r="F109">
        <v>7004</v>
      </c>
      <c r="G109" s="2">
        <f t="shared" si="3"/>
        <v>16</v>
      </c>
    </row>
    <row r="110" spans="1:7" x14ac:dyDescent="0.25">
      <c r="A110" t="s">
        <v>56</v>
      </c>
      <c r="B110">
        <v>20939</v>
      </c>
      <c r="C110">
        <v>20957</v>
      </c>
      <c r="D110" s="2">
        <f t="shared" si="2"/>
        <v>18</v>
      </c>
      <c r="F110">
        <v>23002</v>
      </c>
      <c r="G110" s="2">
        <f t="shared" si="3"/>
        <v>2063</v>
      </c>
    </row>
    <row r="111" spans="1:7" x14ac:dyDescent="0.25">
      <c r="A111" t="s">
        <v>6</v>
      </c>
      <c r="B111">
        <v>1024498</v>
      </c>
      <c r="C111">
        <v>1013893</v>
      </c>
      <c r="D111" s="3">
        <f t="shared" si="2"/>
        <v>-10605</v>
      </c>
      <c r="F111">
        <v>510807</v>
      </c>
      <c r="G111" s="3">
        <f t="shared" si="3"/>
        <v>-513691</v>
      </c>
    </row>
    <row r="112" spans="1:7" x14ac:dyDescent="0.25">
      <c r="A112" t="s">
        <v>36</v>
      </c>
      <c r="B112">
        <v>111130</v>
      </c>
      <c r="C112">
        <v>111130</v>
      </c>
      <c r="D112">
        <f t="shared" si="2"/>
        <v>0</v>
      </c>
      <c r="F112">
        <v>111143</v>
      </c>
      <c r="G112" s="2">
        <f t="shared" si="3"/>
        <v>13</v>
      </c>
    </row>
    <row r="113" spans="1:7" x14ac:dyDescent="0.25">
      <c r="A113" t="s">
        <v>9</v>
      </c>
      <c r="B113">
        <v>387830</v>
      </c>
      <c r="C113">
        <v>385210</v>
      </c>
      <c r="D113" s="3">
        <f t="shared" si="2"/>
        <v>-2620</v>
      </c>
      <c r="F113">
        <v>370166</v>
      </c>
      <c r="G113" s="3">
        <f t="shared" si="3"/>
        <v>-17664</v>
      </c>
    </row>
    <row r="114" spans="1:7" x14ac:dyDescent="0.25">
      <c r="A114" t="s">
        <v>4</v>
      </c>
      <c r="B114">
        <v>1051797</v>
      </c>
      <c r="C114">
        <v>1048832</v>
      </c>
      <c r="D114" s="3">
        <f t="shared" si="2"/>
        <v>-2965</v>
      </c>
      <c r="F114">
        <v>1032065</v>
      </c>
      <c r="G114" s="3">
        <f t="shared" si="3"/>
        <v>-19732</v>
      </c>
    </row>
    <row r="115" spans="1:7" x14ac:dyDescent="0.25">
      <c r="A115" t="s">
        <v>59</v>
      </c>
      <c r="B115">
        <v>20845</v>
      </c>
      <c r="C115">
        <v>20930</v>
      </c>
      <c r="D115" s="2">
        <f t="shared" si="2"/>
        <v>85</v>
      </c>
      <c r="F115">
        <v>23947</v>
      </c>
      <c r="G115" s="2">
        <f t="shared" si="3"/>
        <v>3102</v>
      </c>
    </row>
    <row r="116" spans="1:7" x14ac:dyDescent="0.25">
      <c r="A116" t="s">
        <v>146</v>
      </c>
      <c r="B116">
        <v>34</v>
      </c>
      <c r="C116">
        <v>34</v>
      </c>
      <c r="D116">
        <f t="shared" si="2"/>
        <v>0</v>
      </c>
      <c r="F116">
        <v>34</v>
      </c>
      <c r="G116">
        <f t="shared" si="3"/>
        <v>0</v>
      </c>
    </row>
    <row r="117" spans="1:7" x14ac:dyDescent="0.25">
      <c r="A117" t="s">
        <v>88</v>
      </c>
      <c r="B117">
        <v>3546</v>
      </c>
      <c r="C117">
        <v>3588</v>
      </c>
      <c r="D117" s="2">
        <f t="shared" si="2"/>
        <v>42</v>
      </c>
      <c r="F117">
        <v>3973</v>
      </c>
      <c r="G117" s="2">
        <f t="shared" si="3"/>
        <v>427</v>
      </c>
    </row>
    <row r="118" spans="1:7" x14ac:dyDescent="0.25">
      <c r="A118" t="s">
        <v>12</v>
      </c>
      <c r="B118">
        <v>252086</v>
      </c>
      <c r="C118">
        <v>252239</v>
      </c>
      <c r="D118" s="2">
        <f t="shared" si="2"/>
        <v>153</v>
      </c>
      <c r="F118">
        <v>253734</v>
      </c>
      <c r="G118" s="2">
        <f t="shared" si="3"/>
        <v>1648</v>
      </c>
    </row>
    <row r="119" spans="1:7" x14ac:dyDescent="0.25">
      <c r="A119" t="s">
        <v>112</v>
      </c>
      <c r="B119">
        <v>1799</v>
      </c>
      <c r="C119">
        <v>1801</v>
      </c>
      <c r="D119" s="2">
        <f t="shared" si="2"/>
        <v>2</v>
      </c>
      <c r="F119">
        <v>1866</v>
      </c>
      <c r="G119" s="2">
        <f t="shared" si="3"/>
        <v>67</v>
      </c>
    </row>
    <row r="120" spans="1:7" x14ac:dyDescent="0.25">
      <c r="A120" t="s">
        <v>99</v>
      </c>
      <c r="B120">
        <v>2160</v>
      </c>
      <c r="C120">
        <v>2160</v>
      </c>
      <c r="D120">
        <f t="shared" si="2"/>
        <v>0</v>
      </c>
      <c r="F120">
        <v>2160</v>
      </c>
      <c r="G120">
        <f t="shared" si="3"/>
        <v>0</v>
      </c>
    </row>
    <row r="121" spans="1:7" x14ac:dyDescent="0.25">
      <c r="A121" t="s">
        <v>14</v>
      </c>
      <c r="B121">
        <v>229105</v>
      </c>
      <c r="C121">
        <v>229467</v>
      </c>
      <c r="D121" s="2">
        <f t="shared" si="2"/>
        <v>362</v>
      </c>
      <c r="F121">
        <v>240172</v>
      </c>
      <c r="G121" s="2">
        <f t="shared" si="3"/>
        <v>11067</v>
      </c>
    </row>
    <row r="122" spans="1:7" x14ac:dyDescent="0.25">
      <c r="A122" t="s">
        <v>140</v>
      </c>
      <c r="B122">
        <v>153</v>
      </c>
      <c r="C122">
        <v>153</v>
      </c>
      <c r="D122">
        <f t="shared" si="2"/>
        <v>0</v>
      </c>
      <c r="F122">
        <v>184</v>
      </c>
      <c r="G122" s="2">
        <f t="shared" si="3"/>
        <v>31</v>
      </c>
    </row>
    <row r="123" spans="1:7" x14ac:dyDescent="0.25">
      <c r="A123" t="s">
        <v>101</v>
      </c>
      <c r="B123">
        <v>3436</v>
      </c>
      <c r="C123">
        <v>3436</v>
      </c>
      <c r="D123">
        <f t="shared" si="2"/>
        <v>0</v>
      </c>
      <c r="F123">
        <v>3436</v>
      </c>
      <c r="G123">
        <f t="shared" si="3"/>
        <v>0</v>
      </c>
    </row>
    <row r="124" spans="1:7" x14ac:dyDescent="0.25">
      <c r="A124" t="s">
        <v>118</v>
      </c>
      <c r="B124">
        <v>1267</v>
      </c>
      <c r="C124">
        <v>1267</v>
      </c>
      <c r="D124">
        <f t="shared" si="2"/>
        <v>0</v>
      </c>
      <c r="F124">
        <v>1326</v>
      </c>
      <c r="G124" s="2">
        <f t="shared" si="3"/>
        <v>59</v>
      </c>
    </row>
    <row r="125" spans="1:7" x14ac:dyDescent="0.25">
      <c r="A125" t="s">
        <v>144</v>
      </c>
      <c r="B125">
        <v>94</v>
      </c>
      <c r="C125">
        <v>101</v>
      </c>
      <c r="D125" s="2">
        <f t="shared" si="2"/>
        <v>7</v>
      </c>
      <c r="F125">
        <v>98</v>
      </c>
      <c r="G125" s="2">
        <f t="shared" si="3"/>
        <v>4</v>
      </c>
    </row>
    <row r="126" spans="1:7" x14ac:dyDescent="0.25">
      <c r="A126" t="s">
        <v>19</v>
      </c>
      <c r="B126">
        <v>161151</v>
      </c>
      <c r="C126">
        <v>161430</v>
      </c>
      <c r="D126" s="2">
        <f t="shared" si="2"/>
        <v>279</v>
      </c>
      <c r="F126">
        <v>162350</v>
      </c>
      <c r="G126" s="2">
        <f t="shared" si="3"/>
        <v>1199</v>
      </c>
    </row>
    <row r="127" spans="1:7" x14ac:dyDescent="0.25">
      <c r="A127" t="s">
        <v>82</v>
      </c>
      <c r="B127">
        <v>6513</v>
      </c>
      <c r="C127">
        <v>6530</v>
      </c>
      <c r="D127" s="2">
        <f t="shared" si="2"/>
        <v>17</v>
      </c>
      <c r="F127">
        <v>7112</v>
      </c>
      <c r="G127" s="2">
        <f t="shared" si="3"/>
        <v>599</v>
      </c>
    </row>
    <row r="128" spans="1:7" x14ac:dyDescent="0.25">
      <c r="A128" t="s">
        <v>136</v>
      </c>
      <c r="B128">
        <v>176</v>
      </c>
      <c r="C128">
        <v>239</v>
      </c>
      <c r="D128" s="2">
        <f t="shared" si="2"/>
        <v>63</v>
      </c>
      <c r="F128">
        <v>245</v>
      </c>
      <c r="G128" s="2">
        <f t="shared" si="3"/>
        <v>69</v>
      </c>
    </row>
    <row r="129" spans="1:7" x14ac:dyDescent="0.25">
      <c r="A129" t="s">
        <v>94</v>
      </c>
      <c r="B129">
        <v>3463</v>
      </c>
      <c r="C129">
        <v>3915</v>
      </c>
      <c r="D129" s="2">
        <f t="shared" si="2"/>
        <v>452</v>
      </c>
      <c r="F129">
        <v>4062</v>
      </c>
      <c r="G129" s="2">
        <f t="shared" si="3"/>
        <v>599</v>
      </c>
    </row>
    <row r="130" spans="1:7" x14ac:dyDescent="0.25">
      <c r="A130" t="s">
        <v>54</v>
      </c>
      <c r="B130">
        <v>34514</v>
      </c>
      <c r="C130">
        <v>34833</v>
      </c>
      <c r="D130" s="2">
        <f t="shared" si="2"/>
        <v>319</v>
      </c>
      <c r="F130">
        <v>54615</v>
      </c>
      <c r="G130" s="2">
        <f t="shared" si="3"/>
        <v>20101</v>
      </c>
    </row>
    <row r="131" spans="1:7" x14ac:dyDescent="0.25">
      <c r="A131" t="s">
        <v>48</v>
      </c>
      <c r="B131">
        <v>31621</v>
      </c>
      <c r="C131">
        <v>31898</v>
      </c>
      <c r="D131" s="2">
        <f t="shared" ref="D131:D149" si="4">C131-B131</f>
        <v>277</v>
      </c>
      <c r="F131">
        <v>35294</v>
      </c>
      <c r="G131" s="2">
        <f t="shared" ref="G131:G149" si="5">F131-B131</f>
        <v>3673</v>
      </c>
    </row>
    <row r="132" spans="1:7" x14ac:dyDescent="0.25">
      <c r="A132" t="s">
        <v>93</v>
      </c>
      <c r="B132">
        <v>3648</v>
      </c>
      <c r="C132">
        <v>3407</v>
      </c>
      <c r="D132" s="3">
        <f t="shared" si="4"/>
        <v>-241</v>
      </c>
      <c r="F132">
        <v>3356</v>
      </c>
      <c r="G132" s="3">
        <f t="shared" si="5"/>
        <v>-292</v>
      </c>
    </row>
    <row r="133" spans="1:7" x14ac:dyDescent="0.25">
      <c r="A133" t="s">
        <v>90</v>
      </c>
      <c r="B133">
        <v>2796</v>
      </c>
      <c r="C133">
        <v>2804</v>
      </c>
      <c r="D133" s="2">
        <f t="shared" si="4"/>
        <v>8</v>
      </c>
      <c r="F133">
        <v>3267</v>
      </c>
      <c r="G133" s="2">
        <f t="shared" si="5"/>
        <v>471</v>
      </c>
    </row>
    <row r="134" spans="1:7" x14ac:dyDescent="0.25">
      <c r="A134" t="s">
        <v>129</v>
      </c>
      <c r="B134">
        <v>485</v>
      </c>
      <c r="C134">
        <v>610</v>
      </c>
      <c r="D134" s="2">
        <f t="shared" si="4"/>
        <v>125</v>
      </c>
      <c r="F134">
        <v>648</v>
      </c>
      <c r="G134" s="2">
        <f t="shared" si="5"/>
        <v>163</v>
      </c>
    </row>
    <row r="135" spans="1:7" x14ac:dyDescent="0.25">
      <c r="A135" t="s">
        <v>29</v>
      </c>
      <c r="B135">
        <v>89511</v>
      </c>
      <c r="C135">
        <v>89843</v>
      </c>
      <c r="D135" s="2">
        <f t="shared" si="4"/>
        <v>332</v>
      </c>
      <c r="F135">
        <v>102247</v>
      </c>
      <c r="G135" s="2">
        <f t="shared" si="5"/>
        <v>12736</v>
      </c>
    </row>
    <row r="136" spans="1:7" x14ac:dyDescent="0.25">
      <c r="A136" t="s">
        <v>37</v>
      </c>
      <c r="B136">
        <v>47619</v>
      </c>
      <c r="C136">
        <v>47692</v>
      </c>
      <c r="D136" s="2">
        <f t="shared" si="4"/>
        <v>73</v>
      </c>
      <c r="F136">
        <v>49762</v>
      </c>
      <c r="G136" s="2">
        <f t="shared" si="5"/>
        <v>2143</v>
      </c>
    </row>
    <row r="137" spans="1:7" x14ac:dyDescent="0.25">
      <c r="A137" t="s">
        <v>44</v>
      </c>
      <c r="B137">
        <v>76966</v>
      </c>
      <c r="C137">
        <v>77257</v>
      </c>
      <c r="D137" s="2">
        <f t="shared" si="4"/>
        <v>291</v>
      </c>
      <c r="F137">
        <v>78785</v>
      </c>
      <c r="G137" s="2">
        <f t="shared" si="5"/>
        <v>1819</v>
      </c>
    </row>
    <row r="138" spans="1:7" x14ac:dyDescent="0.25">
      <c r="A138" t="s">
        <v>73</v>
      </c>
      <c r="B138">
        <v>10034</v>
      </c>
      <c r="C138">
        <v>10034</v>
      </c>
      <c r="D138">
        <f t="shared" si="4"/>
        <v>0</v>
      </c>
      <c r="F138">
        <v>10036</v>
      </c>
      <c r="G138" s="2">
        <f t="shared" si="5"/>
        <v>2</v>
      </c>
    </row>
    <row r="139" spans="1:7" x14ac:dyDescent="0.25">
      <c r="A139" t="s">
        <v>33</v>
      </c>
      <c r="B139">
        <v>90538</v>
      </c>
      <c r="C139">
        <v>91048</v>
      </c>
      <c r="D139" s="2">
        <f t="shared" si="4"/>
        <v>510</v>
      </c>
      <c r="F139">
        <v>105426</v>
      </c>
      <c r="G139" s="2">
        <f t="shared" si="5"/>
        <v>14888</v>
      </c>
    </row>
    <row r="140" spans="1:7" x14ac:dyDescent="0.25">
      <c r="A140" t="s">
        <v>79</v>
      </c>
      <c r="B140">
        <v>6932</v>
      </c>
      <c r="C140">
        <v>6932</v>
      </c>
      <c r="D140">
        <f t="shared" si="4"/>
        <v>0</v>
      </c>
      <c r="F140">
        <v>8353</v>
      </c>
      <c r="G140" s="2">
        <f t="shared" si="5"/>
        <v>1421</v>
      </c>
    </row>
    <row r="141" spans="1:7" x14ac:dyDescent="0.25">
      <c r="A141" t="s">
        <v>65</v>
      </c>
      <c r="B141">
        <v>17957</v>
      </c>
      <c r="C141">
        <v>17985</v>
      </c>
      <c r="D141" s="2">
        <f t="shared" si="4"/>
        <v>28</v>
      </c>
      <c r="F141">
        <v>19124</v>
      </c>
      <c r="G141" s="2">
        <f t="shared" si="5"/>
        <v>1167</v>
      </c>
    </row>
    <row r="142" spans="1:7" x14ac:dyDescent="0.25">
      <c r="A142" t="s">
        <v>3</v>
      </c>
      <c r="B142">
        <v>1096386</v>
      </c>
      <c r="C142">
        <v>1100325</v>
      </c>
      <c r="D142" s="2">
        <f t="shared" si="4"/>
        <v>3939</v>
      </c>
      <c r="F142">
        <v>1189460</v>
      </c>
      <c r="G142" s="2">
        <f t="shared" si="5"/>
        <v>93074</v>
      </c>
    </row>
    <row r="143" spans="1:7" x14ac:dyDescent="0.25">
      <c r="A143" t="s">
        <v>24</v>
      </c>
      <c r="B143">
        <v>140277</v>
      </c>
      <c r="C143">
        <v>140113</v>
      </c>
      <c r="D143" s="3">
        <f t="shared" si="4"/>
        <v>-164</v>
      </c>
      <c r="F143">
        <v>99556</v>
      </c>
      <c r="G143" s="3">
        <f t="shared" si="5"/>
        <v>-40721</v>
      </c>
    </row>
    <row r="144" spans="1:7" x14ac:dyDescent="0.25">
      <c r="A144" t="s">
        <v>64</v>
      </c>
      <c r="B144">
        <v>22095</v>
      </c>
      <c r="C144">
        <v>22241</v>
      </c>
      <c r="D144" s="2">
        <f t="shared" si="4"/>
        <v>146</v>
      </c>
      <c r="F144">
        <v>22800</v>
      </c>
      <c r="G144" s="2">
        <f t="shared" si="5"/>
        <v>705</v>
      </c>
    </row>
    <row r="145" spans="1:7" x14ac:dyDescent="0.25">
      <c r="A145" t="s">
        <v>25</v>
      </c>
      <c r="B145">
        <v>120172</v>
      </c>
      <c r="C145">
        <v>115381</v>
      </c>
      <c r="D145" s="3">
        <f t="shared" si="4"/>
        <v>-4791</v>
      </c>
      <c r="F145">
        <v>112643</v>
      </c>
      <c r="G145" s="3">
        <f t="shared" si="5"/>
        <v>-7529</v>
      </c>
    </row>
    <row r="146" spans="1:7" x14ac:dyDescent="0.25">
      <c r="A146" t="s">
        <v>142</v>
      </c>
      <c r="B146">
        <v>126</v>
      </c>
      <c r="C146">
        <v>122</v>
      </c>
      <c r="D146" s="3">
        <f t="shared" si="4"/>
        <v>-4</v>
      </c>
      <c r="F146">
        <v>116</v>
      </c>
      <c r="G146" s="3">
        <f t="shared" si="5"/>
        <v>-10</v>
      </c>
    </row>
    <row r="147" spans="1:7" x14ac:dyDescent="0.25">
      <c r="A147" t="s">
        <v>20</v>
      </c>
      <c r="B147">
        <v>131709</v>
      </c>
      <c r="C147">
        <v>131978</v>
      </c>
      <c r="D147" s="2">
        <f t="shared" si="4"/>
        <v>269</v>
      </c>
      <c r="F147">
        <v>143216</v>
      </c>
      <c r="G147" s="2">
        <f t="shared" si="5"/>
        <v>11507</v>
      </c>
    </row>
    <row r="148" spans="1:7" x14ac:dyDescent="0.25">
      <c r="A148" t="s">
        <v>30</v>
      </c>
      <c r="B148">
        <v>135199</v>
      </c>
      <c r="C148">
        <v>135361</v>
      </c>
      <c r="D148" s="2">
        <f t="shared" si="4"/>
        <v>162</v>
      </c>
      <c r="F148">
        <v>138475</v>
      </c>
      <c r="G148" s="2">
        <f t="shared" si="5"/>
        <v>3276</v>
      </c>
    </row>
    <row r="149" spans="1:7" x14ac:dyDescent="0.25">
      <c r="A149" t="s">
        <v>70</v>
      </c>
      <c r="B149">
        <v>13802</v>
      </c>
      <c r="C149">
        <v>13877</v>
      </c>
      <c r="D149" s="2">
        <f t="shared" si="4"/>
        <v>75</v>
      </c>
      <c r="F149">
        <v>16900</v>
      </c>
      <c r="G149" s="2">
        <f t="shared" si="5"/>
        <v>3098</v>
      </c>
    </row>
  </sheetData>
  <sortState xmlns:xlrd2="http://schemas.microsoft.com/office/spreadsheetml/2017/richdata2" ref="F2:G149">
    <sortCondition ref="F2:F1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Seery</dc:creator>
  <cp:lastModifiedBy>Matthew Seery</cp:lastModifiedBy>
  <dcterms:created xsi:type="dcterms:W3CDTF">2025-12-04T09:18:57Z</dcterms:created>
  <dcterms:modified xsi:type="dcterms:W3CDTF">2025-12-07T12:07:44Z</dcterms:modified>
</cp:coreProperties>
</file>